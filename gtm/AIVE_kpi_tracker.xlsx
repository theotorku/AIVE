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Funnel" sheetId="1" state="visible" r:id="rId3"/>
    <sheet name="Pipeline" sheetId="2" state="visible" r:id="rId4"/>
    <sheet name="Unit Econom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<sst xmlns="http://schemas.openxmlformats.org/spreadsheetml/2006/main" count="85" uniqueCount="82">
  <si>
    <t xml:space="preserve">Week #</t>
  </si>
  <si>
    <t xml:space="preserve">Week start</t>
  </si>
  <si>
    <t xml:space="preserve">Prospects added</t>
  </si>
  <si>
    <t xml:space="preserve">Pre-audits run</t>
  </si>
  <si>
    <t xml:space="preserve">Emails sent</t>
  </si>
  <si>
    <t xml:space="preserve">Replies</t>
  </si>
  <si>
    <t xml:space="preserve">Reply rate</t>
  </si>
  <si>
    <t xml:space="preserve">Calls booked</t>
  </si>
  <si>
    <t xml:space="preserve">Calls held</t>
  </si>
  <si>
    <t xml:space="preserve">Audits sold</t>
  </si>
  <si>
    <t xml:space="preserve">Close rate</t>
  </si>
  <si>
    <t xml:space="preserve">Fix sold</t>
  </si>
  <si>
    <t xml:space="preserve">Monitoring signed</t>
  </si>
  <si>
    <t xml:space="preserve">Free grades run</t>
  </si>
  <si>
    <t xml:space="preserve">Cash collected ($)</t>
  </si>
  <si>
    <t xml:space="preserve">MRR ($)</t>
  </si>
  <si>
    <t xml:space="preserve">Notes / decision</t>
  </si>
  <si>
    <t xml:space="preserve">TOTAL</t>
  </si>
  <si>
    <t xml:space="preserve">TARGETS (day 90)</t>
  </si>
  <si>
    <t xml:space="preserve">325</t>
  </si>
  <si>
    <t xml:space="preserve">200+</t>
  </si>
  <si>
    <t xml:space="preserve">≥15%</t>
  </si>
  <si>
    <t xml:space="preserve">10+</t>
  </si>
  <si>
    <t xml:space="preserve">≥25%</t>
  </si>
  <si>
    <t xml:space="preserve">3+</t>
  </si>
  <si>
    <t xml:space="preserve">2+</t>
  </si>
  <si>
    <t xml:space="preserve">100+</t>
  </si>
  <si>
    <t xml:space="preserve">$8–12k</t>
  </si>
  <si>
    <t xml:space="preserve">$600+</t>
  </si>
  <si>
    <t xml:space="preserve">Business</t>
  </si>
  <si>
    <t xml:space="preserve">Website</t>
  </si>
  <si>
    <t xml:space="preserve">Metro</t>
  </si>
  <si>
    <t xml:space="preserve">Contact</t>
  </si>
  <si>
    <t xml:space="preserve">Email</t>
  </si>
  <si>
    <t xml:space="preserve">Phone</t>
  </si>
  <si>
    <t xml:space="preserve">ABI score</t>
  </si>
  <si>
    <t xml:space="preserve">Grade</t>
  </si>
  <si>
    <t xml:space="preserve">Top gap</t>
  </si>
  <si>
    <t xml:space="preserve">Stage</t>
  </si>
  <si>
    <t xml:space="preserve">Last touch</t>
  </si>
  <si>
    <t xml:space="preserve">Next step</t>
  </si>
  <si>
    <t xml:space="preserve">Package</t>
  </si>
  <si>
    <t xml:space="preserve">Value ($)</t>
  </si>
  <si>
    <t xml:space="preserve">Source</t>
  </si>
  <si>
    <t xml:space="preserve">Notes</t>
  </si>
  <si>
    <t xml:space="preserve">Stages:</t>
  </si>
  <si>
    <t xml:space="preserve">(example) Smith Heating &amp; Air</t>
  </si>
  <si>
    <t xml:space="preserve">Charlotte</t>
  </si>
  <si>
    <t xml:space="preserve">D</t>
  </si>
  <si>
    <t xml:space="preserve">No service-area statements</t>
  </si>
  <si>
    <t xml:space="preserve">Email 2 sent</t>
  </si>
  <si>
    <t xml:space="preserve">Audit $399</t>
  </si>
  <si>
    <t xml:space="preserve">Pre-audited</t>
  </si>
  <si>
    <t xml:space="preserve">Email 1-5 sent</t>
  </si>
  <si>
    <t xml:space="preserve">Replied</t>
  </si>
  <si>
    <t xml:space="preserve">Call booked</t>
  </si>
  <si>
    <t xml:space="preserve">Call held</t>
  </si>
  <si>
    <t xml:space="preserve">Audit sold</t>
  </si>
  <si>
    <t xml:space="preserve">Audit delivered</t>
  </si>
  <si>
    <t xml:space="preserve">Fix delivered</t>
  </si>
  <si>
    <t xml:space="preserve">Monitoring</t>
  </si>
  <si>
    <t xml:space="preserve">Lost/Nurture</t>
  </si>
  <si>
    <t xml:space="preserve">ASSUMPTIONS (edit blue)</t>
  </si>
  <si>
    <t xml:space="preserve">Audit price ($)</t>
  </si>
  <si>
    <t xml:space="preserve">Founding price ($)</t>
  </si>
  <si>
    <t xml:space="preserve">Fix price ($)</t>
  </si>
  <si>
    <t xml:space="preserve">Monitoring price ($/mo)</t>
  </si>
  <si>
    <t xml:space="preserve">COGS per audit ($)</t>
  </si>
  <si>
    <t xml:space="preserve">ledger says ~$0.004 LLM + crawl</t>
  </si>
  <si>
    <t xml:space="preserve">Fix attach rate</t>
  </si>
  <si>
    <t xml:space="preserve">target ≥30%</t>
  </si>
  <si>
    <t xml:space="preserve">Monitoring conversion (of fixes)</t>
  </si>
  <si>
    <t xml:space="preserve">target ≥40%</t>
  </si>
  <si>
    <t xml:space="preserve">Avg monitoring months (yr 1)</t>
  </si>
  <si>
    <t xml:space="preserve">PER-CUSTOMER VALUE</t>
  </si>
  <si>
    <t xml:space="preserve">Expected value per audit customer ($)</t>
  </si>
  <si>
    <t xml:space="preserve">Gross margin per audit</t>
  </si>
  <si>
    <t xml:space="preserve">FUNNEL MATH (100 prospects)</t>
  </si>
  <si>
    <t xml:space="preserve">Call booking (of replies)</t>
  </si>
  <si>
    <t xml:space="preserve">Close rate (of calls)</t>
  </si>
  <si>
    <t xml:space="preserve">Audits per 100 prospects</t>
  </si>
  <si>
    <t xml:space="preserve">Revenue per 100 prospects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</si>
</sst>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"/>
    <numFmt numFmtId="167" formatCode="\$#,##0.00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4F7FD"/>
        <bgColor rgb="FFFFFFFF"/>
      </patternFill>
    </fill>
    <fill>
      <patternFill patternType="solid">
        <fgColor rgb="FFCADCFC"/>
        <bgColor rgb="FFD0D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D"/>
      <rgbColor rgb="FFCADCFC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3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</v>
      </c>
      <c r="B2" s="3"/>
      <c r="C2" s="3"/>
      <c r="D2" s="3"/>
      <c r="E2" s="3"/>
      <c r="F2" s="3"/>
      <c r="G2" s="4" t="str">
        <f aca="false">IF(E2=0,"",F2/E2)</f>
        <v/>
      </c>
      <c r="H2" s="3"/>
      <c r="I2" s="3"/>
      <c r="J2" s="3"/>
      <c r="K2" s="4" t="str">
        <f aca="false">IF(I2=0,"",J2/I2)</f>
        <v/>
      </c>
      <c r="L2" s="3"/>
      <c r="M2" s="3"/>
      <c r="N2" s="3"/>
      <c r="O2" s="5"/>
      <c r="P2" s="5"/>
      <c r="Q2" s="6"/>
    </row>
    <row r="3" customFormat="false" ht="15" hidden="false" customHeight="false" outlineLevel="0" collapsed="false">
      <c r="A3" s="2" t="n">
        <v>2</v>
      </c>
      <c r="B3" s="3"/>
      <c r="C3" s="3"/>
      <c r="D3" s="3"/>
      <c r="E3" s="3"/>
      <c r="F3" s="3"/>
      <c r="G3" s="4" t="str">
        <f aca="false">IF(E3=0,"",F3/E3)</f>
        <v/>
      </c>
      <c r="H3" s="3"/>
      <c r="I3" s="3"/>
      <c r="J3" s="3"/>
      <c r="K3" s="4" t="str">
        <f aca="false">IF(I3=0,"",J3/I3)</f>
        <v/>
      </c>
      <c r="L3" s="3"/>
      <c r="M3" s="3"/>
      <c r="N3" s="3"/>
      <c r="O3" s="5"/>
      <c r="P3" s="5"/>
      <c r="Q3" s="6"/>
    </row>
    <row r="4" customFormat="false" ht="15" hidden="false" customHeight="false" outlineLevel="0" collapsed="false">
      <c r="A4" s="2" t="n">
        <v>3</v>
      </c>
      <c r="B4" s="3"/>
      <c r="C4" s="3"/>
      <c r="D4" s="3"/>
      <c r="E4" s="3"/>
      <c r="F4" s="3"/>
      <c r="G4" s="4" t="str">
        <f aca="false">IF(E4=0,"",F4/E4)</f>
        <v/>
      </c>
      <c r="H4" s="3"/>
      <c r="I4" s="3"/>
      <c r="J4" s="3"/>
      <c r="K4" s="4" t="str">
        <f aca="false">IF(I4=0,"",J4/I4)</f>
        <v/>
      </c>
      <c r="L4" s="3"/>
      <c r="M4" s="3"/>
      <c r="N4" s="3"/>
      <c r="O4" s="5"/>
      <c r="P4" s="5"/>
      <c r="Q4" s="6"/>
    </row>
    <row r="5" customFormat="false" ht="15" hidden="false" customHeight="false" outlineLevel="0" collapsed="false">
      <c r="A5" s="2" t="n">
        <v>4</v>
      </c>
      <c r="B5" s="3"/>
      <c r="C5" s="3"/>
      <c r="D5" s="3"/>
      <c r="E5" s="3"/>
      <c r="F5" s="3"/>
      <c r="G5" s="4" t="str">
        <f aca="false">IF(E5=0,"",F5/E5)</f>
        <v/>
      </c>
      <c r="H5" s="3"/>
      <c r="I5" s="3"/>
      <c r="J5" s="3"/>
      <c r="K5" s="4" t="str">
        <f aca="false">IF(I5=0,"",J5/I5)</f>
        <v/>
      </c>
      <c r="L5" s="3"/>
      <c r="M5" s="3"/>
      <c r="N5" s="3"/>
      <c r="O5" s="5"/>
      <c r="P5" s="5"/>
      <c r="Q5" s="6"/>
    </row>
    <row r="6" customFormat="false" ht="15" hidden="false" customHeight="false" outlineLevel="0" collapsed="false">
      <c r="A6" s="2" t="n">
        <v>5</v>
      </c>
      <c r="B6" s="3"/>
      <c r="C6" s="3"/>
      <c r="D6" s="3"/>
      <c r="E6" s="3"/>
      <c r="F6" s="3"/>
      <c r="G6" s="4" t="str">
        <f aca="false">IF(E6=0,"",F6/E6)</f>
        <v/>
      </c>
      <c r="H6" s="3"/>
      <c r="I6" s="3"/>
      <c r="J6" s="3"/>
      <c r="K6" s="4" t="str">
        <f aca="false">IF(I6=0,"",J6/I6)</f>
        <v/>
      </c>
      <c r="L6" s="3"/>
      <c r="M6" s="3"/>
      <c r="N6" s="3"/>
      <c r="O6" s="5"/>
      <c r="P6" s="5"/>
      <c r="Q6" s="6"/>
    </row>
    <row r="7" customFormat="false" ht="15" hidden="false" customHeight="false" outlineLevel="0" collapsed="false">
      <c r="A7" s="2" t="n">
        <v>6</v>
      </c>
      <c r="B7" s="3"/>
      <c r="C7" s="3"/>
      <c r="D7" s="3"/>
      <c r="E7" s="3"/>
      <c r="F7" s="3"/>
      <c r="G7" s="4" t="str">
        <f aca="false">IF(E7=0,"",F7/E7)</f>
        <v/>
      </c>
      <c r="H7" s="3"/>
      <c r="I7" s="3"/>
      <c r="J7" s="3"/>
      <c r="K7" s="4" t="str">
        <f aca="false">IF(I7=0,"",J7/I7)</f>
        <v/>
      </c>
      <c r="L7" s="3"/>
      <c r="M7" s="3"/>
      <c r="N7" s="3"/>
      <c r="O7" s="5"/>
      <c r="P7" s="5"/>
      <c r="Q7" s="6"/>
    </row>
    <row r="8" customFormat="false" ht="15" hidden="false" customHeight="false" outlineLevel="0" collapsed="false">
      <c r="A8" s="2" t="n">
        <v>7</v>
      </c>
      <c r="B8" s="3"/>
      <c r="C8" s="3"/>
      <c r="D8" s="3"/>
      <c r="E8" s="3"/>
      <c r="F8" s="3"/>
      <c r="G8" s="4" t="str">
        <f aca="false">IF(E8=0,"",F8/E8)</f>
        <v/>
      </c>
      <c r="H8" s="3"/>
      <c r="I8" s="3"/>
      <c r="J8" s="3"/>
      <c r="K8" s="4" t="str">
        <f aca="false">IF(I8=0,"",J8/I8)</f>
        <v/>
      </c>
      <c r="L8" s="3"/>
      <c r="M8" s="3"/>
      <c r="N8" s="3"/>
      <c r="O8" s="5"/>
      <c r="P8" s="5"/>
      <c r="Q8" s="6"/>
    </row>
    <row r="9" customFormat="false" ht="15" hidden="false" customHeight="false" outlineLevel="0" collapsed="false">
      <c r="A9" s="2" t="n">
        <v>8</v>
      </c>
      <c r="B9" s="3"/>
      <c r="C9" s="3"/>
      <c r="D9" s="3"/>
      <c r="E9" s="3"/>
      <c r="F9" s="3"/>
      <c r="G9" s="4" t="str">
        <f aca="false">IF(E9=0,"",F9/E9)</f>
        <v/>
      </c>
      <c r="H9" s="3"/>
      <c r="I9" s="3"/>
      <c r="J9" s="3"/>
      <c r="K9" s="4" t="str">
        <f aca="false">IF(I9=0,"",J9/I9)</f>
        <v/>
      </c>
      <c r="L9" s="3"/>
      <c r="M9" s="3"/>
      <c r="N9" s="3"/>
      <c r="O9" s="5"/>
      <c r="P9" s="5"/>
      <c r="Q9" s="6"/>
    </row>
    <row r="10" customFormat="false" ht="15" hidden="false" customHeight="false" outlineLevel="0" collapsed="false">
      <c r="A10" s="2" t="n">
        <v>9</v>
      </c>
      <c r="B10" s="3"/>
      <c r="C10" s="3"/>
      <c r="D10" s="3"/>
      <c r="E10" s="3"/>
      <c r="F10" s="3"/>
      <c r="G10" s="4" t="str">
        <f aca="false">IF(E10=0,"",F10/E10)</f>
        <v/>
      </c>
      <c r="H10" s="3"/>
      <c r="I10" s="3"/>
      <c r="J10" s="3"/>
      <c r="K10" s="4" t="str">
        <f aca="false">IF(I10=0,"",J10/I10)</f>
        <v/>
      </c>
      <c r="L10" s="3"/>
      <c r="M10" s="3"/>
      <c r="N10" s="3"/>
      <c r="O10" s="5"/>
      <c r="P10" s="5"/>
      <c r="Q10" s="6"/>
    </row>
    <row r="11" customFormat="false" ht="15" hidden="false" customHeight="false" outlineLevel="0" collapsed="false">
      <c r="A11" s="2" t="n">
        <v>10</v>
      </c>
      <c r="B11" s="3"/>
      <c r="C11" s="3"/>
      <c r="D11" s="3"/>
      <c r="E11" s="3"/>
      <c r="F11" s="3"/>
      <c r="G11" s="4" t="str">
        <f aca="false">IF(E11=0,"",F11/E11)</f>
        <v/>
      </c>
      <c r="H11" s="3"/>
      <c r="I11" s="3"/>
      <c r="J11" s="3"/>
      <c r="K11" s="4" t="str">
        <f aca="false">IF(I11=0,"",J11/I11)</f>
        <v/>
      </c>
      <c r="L11" s="3"/>
      <c r="M11" s="3"/>
      <c r="N11" s="3"/>
      <c r="O11" s="5"/>
      <c r="P11" s="5"/>
      <c r="Q11" s="6"/>
    </row>
    <row r="12" customFormat="false" ht="15" hidden="false" customHeight="false" outlineLevel="0" collapsed="false">
      <c r="A12" s="2" t="n">
        <v>11</v>
      </c>
      <c r="B12" s="3"/>
      <c r="C12" s="3"/>
      <c r="D12" s="3"/>
      <c r="E12" s="3"/>
      <c r="F12" s="3"/>
      <c r="G12" s="4" t="str">
        <f aca="false">IF(E12=0,"",F12/E12)</f>
        <v/>
      </c>
      <c r="H12" s="3"/>
      <c r="I12" s="3"/>
      <c r="J12" s="3"/>
      <c r="K12" s="4" t="str">
        <f aca="false">IF(I12=0,"",J12/I12)</f>
        <v/>
      </c>
      <c r="L12" s="3"/>
      <c r="M12" s="3"/>
      <c r="N12" s="3"/>
      <c r="O12" s="5"/>
      <c r="P12" s="5"/>
      <c r="Q12" s="6"/>
    </row>
    <row r="13" customFormat="false" ht="15" hidden="false" customHeight="false" outlineLevel="0" collapsed="false">
      <c r="A13" s="2" t="n">
        <v>12</v>
      </c>
      <c r="B13" s="3"/>
      <c r="C13" s="3"/>
      <c r="D13" s="3"/>
      <c r="E13" s="3"/>
      <c r="F13" s="3"/>
      <c r="G13" s="4" t="str">
        <f aca="false">IF(E13=0,"",F13/E13)</f>
        <v/>
      </c>
      <c r="H13" s="3"/>
      <c r="I13" s="3"/>
      <c r="J13" s="3"/>
      <c r="K13" s="4" t="str">
        <f aca="false">IF(I13=0,"",J13/I13)</f>
        <v/>
      </c>
      <c r="L13" s="3"/>
      <c r="M13" s="3"/>
      <c r="N13" s="3"/>
      <c r="O13" s="5"/>
      <c r="P13" s="5"/>
      <c r="Q13" s="6"/>
    </row>
    <row r="14" customFormat="false" ht="15" hidden="false" customHeight="false" outlineLevel="0" collapsed="false">
      <c r="A14" s="2" t="n">
        <v>13</v>
      </c>
      <c r="B14" s="3"/>
      <c r="C14" s="3"/>
      <c r="D14" s="3"/>
      <c r="E14" s="3"/>
      <c r="F14" s="3"/>
      <c r="G14" s="4" t="str">
        <f aca="false">IF(E14=0,"",F14/E14)</f>
        <v/>
      </c>
      <c r="H14" s="3"/>
      <c r="I14" s="3"/>
      <c r="J14" s="3"/>
      <c r="K14" s="4" t="str">
        <f aca="false">IF(I14=0,"",J14/I14)</f>
        <v/>
      </c>
      <c r="L14" s="3"/>
      <c r="M14" s="3"/>
      <c r="N14" s="3"/>
      <c r="O14" s="5"/>
      <c r="P14" s="5"/>
      <c r="Q14" s="6"/>
    </row>
    <row r="15" customFormat="false" ht="15" hidden="false" customHeight="false" outlineLevel="0" collapsed="false">
      <c r="A15" s="7" t="s">
        <v>17</v>
      </c>
      <c r="B15" s="8"/>
      <c r="C15" s="7" t="n">
        <f aca="false">SUM(C2:C14)</f>
        <v>0</v>
      </c>
      <c r="D15" s="7" t="n">
        <f aca="false">SUM(D2:D14)</f>
        <v>0</v>
      </c>
      <c r="E15" s="7" t="n">
        <f aca="false">SUM(E2:E14)</f>
        <v>0</v>
      </c>
      <c r="F15" s="7" t="n">
        <f aca="false">SUM(F2:F14)</f>
        <v>0</v>
      </c>
      <c r="G15" s="9" t="str">
        <f aca="false">IF(E15=0,"",F15/E15)</f>
        <v/>
      </c>
      <c r="H15" s="7" t="n">
        <f aca="false">SUM(H2:H14)</f>
        <v>0</v>
      </c>
      <c r="I15" s="7" t="n">
        <f aca="false">SUM(I2:I14)</f>
        <v>0</v>
      </c>
      <c r="J15" s="7" t="n">
        <f aca="false">SUM(J2:J14)</f>
        <v>0</v>
      </c>
      <c r="K15" s="9" t="str">
        <f aca="false">IF(I15=0,"",J15/I15)</f>
        <v/>
      </c>
      <c r="L15" s="7" t="n">
        <f aca="false">SUM(L2:L14)</f>
        <v>0</v>
      </c>
      <c r="M15" s="7" t="n">
        <f aca="false">SUM(M2:M14)</f>
        <v>0</v>
      </c>
      <c r="N15" s="7" t="n">
        <f aca="false">SUM(N2:N14)</f>
        <v>0</v>
      </c>
      <c r="O15" s="10" t="n">
        <f aca="false">SUM(O2:O14)</f>
        <v>0</v>
      </c>
      <c r="P15" s="10" t="n">
        <f aca="false">M15*299</f>
        <v>0</v>
      </c>
      <c r="Q15" s="8"/>
    </row>
    <row r="17" customFormat="false" ht="15" hidden="false" customHeight="false" outlineLevel="0" collapsed="false">
      <c r="A17" s="11" t="s">
        <v>18</v>
      </c>
      <c r="B17" s="12"/>
      <c r="C17" s="11" t="s">
        <v>19</v>
      </c>
      <c r="D17" s="11" t="s">
        <v>19</v>
      </c>
      <c r="E17" s="11" t="s">
        <v>20</v>
      </c>
      <c r="F17" s="12"/>
      <c r="G17" s="11" t="s">
        <v>21</v>
      </c>
      <c r="H17" s="12"/>
      <c r="I17" s="12"/>
      <c r="J17" s="11" t="s">
        <v>22</v>
      </c>
      <c r="K17" s="11" t="s">
        <v>23</v>
      </c>
      <c r="L17" s="11" t="s">
        <v>24</v>
      </c>
      <c r="M17" s="11" t="s">
        <v>25</v>
      </c>
      <c r="N17" s="11" t="s">
        <v>26</v>
      </c>
      <c r="O17" s="11" t="s">
        <v>27</v>
      </c>
      <c r="P17" s="11" t="s">
        <v>28</v>
      </c>
      <c r="Q17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  <c r="O1" s="13" t="s">
        <v>43</v>
      </c>
      <c r="P1" s="13" t="s">
        <v>44</v>
      </c>
      <c r="R1" s="14" t="s">
        <v>45</v>
      </c>
    </row>
    <row r="2" customFormat="false" ht="15" hidden="false" customHeight="false" outlineLevel="0" collapsed="false">
      <c r="A2" s="15" t="s">
        <v>46</v>
      </c>
      <c r="C2" s="15" t="s">
        <v>47</v>
      </c>
      <c r="G2" s="16" t="n">
        <v>54</v>
      </c>
      <c r="H2" s="16" t="s">
        <v>48</v>
      </c>
      <c r="I2" s="15" t="s">
        <v>49</v>
      </c>
      <c r="J2" s="15" t="s">
        <v>50</v>
      </c>
      <c r="M2" s="15" t="s">
        <v>51</v>
      </c>
      <c r="N2" s="17" t="n">
        <v>399</v>
      </c>
      <c r="R2" s="15" t="s">
        <v>52</v>
      </c>
    </row>
    <row r="3" customFormat="false" ht="15" hidden="false" customHeight="false" outlineLevel="0" collapsed="false">
      <c r="R3" s="15" t="s">
        <v>53</v>
      </c>
    </row>
    <row r="4" customFormat="false" ht="15" hidden="false" customHeight="false" outlineLevel="0" collapsed="false">
      <c r="R4" s="15" t="s">
        <v>54</v>
      </c>
    </row>
    <row r="5" customFormat="false" ht="15" hidden="false" customHeight="false" outlineLevel="0" collapsed="false">
      <c r="R5" s="15" t="s">
        <v>55</v>
      </c>
    </row>
    <row r="6" customFormat="false" ht="15" hidden="false" customHeight="false" outlineLevel="0" collapsed="false">
      <c r="R6" s="15" t="s">
        <v>56</v>
      </c>
    </row>
    <row r="7" customFormat="false" ht="15" hidden="false" customHeight="false" outlineLevel="0" collapsed="false">
      <c r="R7" s="15" t="s">
        <v>57</v>
      </c>
    </row>
    <row r="8" customFormat="false" ht="15" hidden="false" customHeight="false" outlineLevel="0" collapsed="false">
      <c r="R8" s="15" t="s">
        <v>58</v>
      </c>
    </row>
    <row r="9" customFormat="false" ht="15" hidden="false" customHeight="false" outlineLevel="0" collapsed="false">
      <c r="R9" s="15" t="s">
        <v>11</v>
      </c>
    </row>
    <row r="10" customFormat="false" ht="15" hidden="false" customHeight="false" outlineLevel="0" collapsed="false">
      <c r="R10" s="15" t="s">
        <v>59</v>
      </c>
    </row>
    <row r="11" customFormat="false" ht="15" hidden="false" customHeight="false" outlineLevel="0" collapsed="false">
      <c r="R11" s="15" t="s">
        <v>60</v>
      </c>
    </row>
    <row r="12" customFormat="false" ht="15" hidden="false" customHeight="false" outlineLevel="0" collapsed="false">
      <c r="R12" s="1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8" t="s">
        <v>62</v>
      </c>
    </row>
    <row r="2" customFormat="false" ht="15" hidden="false" customHeight="false" outlineLevel="0" collapsed="false">
      <c r="A2" s="15" t="s">
        <v>63</v>
      </c>
      <c r="B2" s="17" t="n">
        <v>749</v>
      </c>
    </row>
    <row r="3" customFormat="false" ht="15" hidden="false" customHeight="false" outlineLevel="0" collapsed="false">
      <c r="A3" s="15" t="s">
        <v>64</v>
      </c>
      <c r="B3" s="17" t="n">
        <v>399</v>
      </c>
    </row>
    <row r="4" customFormat="false" ht="15" hidden="false" customHeight="false" outlineLevel="0" collapsed="false">
      <c r="A4" s="15" t="s">
        <v>65</v>
      </c>
      <c r="B4" s="17" t="n">
        <v>2500</v>
      </c>
    </row>
    <row r="5" customFormat="false" ht="15" hidden="false" customHeight="false" outlineLevel="0" collapsed="false">
      <c r="A5" s="15" t="s">
        <v>66</v>
      </c>
      <c r="B5" s="17" t="n">
        <v>299</v>
      </c>
    </row>
    <row r="6" customFormat="false" ht="15" hidden="false" customHeight="false" outlineLevel="0" collapsed="false">
      <c r="A6" s="15" t="s">
        <v>67</v>
      </c>
      <c r="B6" s="19" t="n">
        <v>0.05</v>
      </c>
      <c r="C6" s="20" t="s">
        <v>68</v>
      </c>
    </row>
    <row r="7" customFormat="false" ht="15" hidden="false" customHeight="false" outlineLevel="0" collapsed="false">
      <c r="A7" s="15" t="s">
        <v>69</v>
      </c>
      <c r="B7" s="21" t="n">
        <v>0.3</v>
      </c>
      <c r="C7" s="20" t="s">
        <v>70</v>
      </c>
    </row>
    <row r="8" customFormat="false" ht="15" hidden="false" customHeight="false" outlineLevel="0" collapsed="false">
      <c r="A8" s="15" t="s">
        <v>71</v>
      </c>
      <c r="B8" s="21" t="n">
        <v>0.4</v>
      </c>
      <c r="C8" s="20" t="s">
        <v>72</v>
      </c>
    </row>
    <row r="9" customFormat="false" ht="15" hidden="false" customHeight="false" outlineLevel="0" collapsed="false">
      <c r="A9" s="15" t="s">
        <v>73</v>
      </c>
      <c r="B9" s="16" t="n">
        <v>6</v>
      </c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18" t="s">
        <v>74</v>
      </c>
    </row>
    <row r="12" customFormat="false" ht="15" hidden="false" customHeight="false" outlineLevel="0" collapsed="false">
      <c r="A12" s="15" t="s">
        <v>75</v>
      </c>
      <c r="B12" s="22" t="n">
        <f aca="false">B2+B7*B4+B7*B8*B5*B9</f>
        <v>1714.28</v>
      </c>
    </row>
    <row r="13" customFormat="false" ht="15" hidden="false" customHeight="false" outlineLevel="0" collapsed="false">
      <c r="A13" s="15" t="s">
        <v>76</v>
      </c>
      <c r="B13" s="23" t="n">
        <f aca="false">(B2-B6)/B2</f>
        <v>0.999933244325768</v>
      </c>
    </row>
    <row r="14" customFormat="false" ht="15" hidden="false" customHeight="false" outlineLevel="0" collapsed="false">
      <c r="A14" s="15"/>
    </row>
    <row r="15" customFormat="false" ht="15" hidden="false" customHeight="false" outlineLevel="0" collapsed="false">
      <c r="A15" s="18" t="s">
        <v>77</v>
      </c>
    </row>
    <row r="16" customFormat="false" ht="15" hidden="false" customHeight="false" outlineLevel="0" collapsed="false">
      <c r="A16" s="15" t="s">
        <v>6</v>
      </c>
      <c r="B16" s="21" t="n">
        <v>0.15</v>
      </c>
    </row>
    <row r="17" customFormat="false" ht="15" hidden="false" customHeight="false" outlineLevel="0" collapsed="false">
      <c r="A17" s="15" t="s">
        <v>78</v>
      </c>
      <c r="B17" s="16" t="n">
        <v>0.5</v>
      </c>
    </row>
    <row r="18" customFormat="false" ht="15" hidden="false" customHeight="false" outlineLevel="0" collapsed="false">
      <c r="A18" s="15" t="s">
        <v>79</v>
      </c>
      <c r="B18" s="21" t="n">
        <v>0.25</v>
      </c>
    </row>
    <row r="19" customFormat="false" ht="15" hidden="false" customHeight="false" outlineLevel="0" collapsed="false">
      <c r="A19" s="15" t="s">
        <v>80</v>
      </c>
      <c r="B19" s="14" t="n">
        <f aca="false">100*B16*B17*B18</f>
        <v>1.875</v>
      </c>
    </row>
    <row r="20" customFormat="false" ht="15" hidden="false" customHeight="false" outlineLevel="0" collapsed="false">
      <c r="A20" s="15" t="s">
        <v>81</v>
      </c>
      <c r="B20" s="22" t="n">
        <f aca="false">B19*B12</f>
        <v>3214.275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2026-07-06T07:29:42Z</dcterms:created>
  <dc:creator>openpyxl</dc:creator>
  <dc:description/>
  <dc:language>en-US</dc:language>
  <cp:lastModifiedBy/>
  <dcterms:modified xsi:type="dcterms:W3CDTF">2026-07-06T07:29:42Z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